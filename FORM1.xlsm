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:\STUDENT\excel\"/>
    </mc:Choice>
  </mc:AlternateContent>
  <xr:revisionPtr revIDLastSave="0" documentId="13_ncr:1_{423F1052-BBCB-4839-9DE2-12B965272DD9}" xr6:coauthVersionLast="47" xr6:coauthVersionMax="47" xr10:uidLastSave="{00000000-0000-0000-0000-000000000000}"/>
  <bookViews>
    <workbookView xWindow="-120" yWindow="-120" windowWidth="19440" windowHeight="11640" xr2:uid="{CE9A46A6-132E-4D5B-96AA-5A1C8143CD2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5" i="1"/>
  <c r="K5" i="1" s="1"/>
  <c r="L5" i="1" s="1"/>
  <c r="I4" i="1"/>
  <c r="J4" i="1"/>
  <c r="K4" i="1" s="1"/>
  <c r="L4" i="1" s="1"/>
  <c r="I3" i="1"/>
  <c r="J3" i="1" s="1"/>
  <c r="I2" i="1"/>
  <c r="J2" i="1" l="1"/>
  <c r="K2" i="1" s="1"/>
  <c r="L2" i="1" s="1"/>
  <c r="K3" i="1"/>
  <c r="L3" i="1" s="1"/>
</calcChain>
</file>

<file path=xl/sharedStrings.xml><?xml version="1.0" encoding="utf-8"?>
<sst xmlns="http://schemas.openxmlformats.org/spreadsheetml/2006/main" count="20" uniqueCount="18">
  <si>
    <t>S. NO</t>
  </si>
  <si>
    <t>EM.NAME</t>
  </si>
  <si>
    <t>EM. ID</t>
  </si>
  <si>
    <t>AGE</t>
  </si>
  <si>
    <t>GENDER</t>
  </si>
  <si>
    <t>BASIC SALARY</t>
  </si>
  <si>
    <t>FOOD</t>
  </si>
  <si>
    <t>HOUSE</t>
  </si>
  <si>
    <t>GROSS SALARY</t>
  </si>
  <si>
    <t>EM.TAX</t>
  </si>
  <si>
    <t>NET SALARY</t>
  </si>
  <si>
    <t>PER DAY SALARY</t>
  </si>
  <si>
    <t>MALE</t>
  </si>
  <si>
    <t>MANYA</t>
  </si>
  <si>
    <t>JGGG</t>
  </si>
  <si>
    <t>UU</t>
  </si>
  <si>
    <t>TYUY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</si>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</sst>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2"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FBD782-BE3C-4666-8573-E4F8F016DD96}" name="Table4" displayName="Table4" ref="A1:L5" totalsRowShown="0" headerRowDxfId="1">
  <autoFilter ref="A1:L5" xr:uid="{E0FBD782-BE3C-4666-8573-E4F8F016DD96}">
    <filterColumn colId="1">
      <filters>
        <filter val="MANYA"/>
      </filters>
    </filterColumn>
  </autoFilter>
  <tableColumns count="12">
    <tableColumn id="1" xr3:uid="{60223323-F60A-466B-8420-7E989BD16174}" name="S. NO"/>
    <tableColumn id="2" xr3:uid="{FFB585D6-5A30-47C6-A254-53B0FE8A2B32}" name="EM.NAME"/>
    <tableColumn id="3" xr3:uid="{53AF18C4-F8CE-4383-BD2F-48AFB2BDEC32}" name="EM. ID"/>
    <tableColumn id="4" xr3:uid="{4087A452-ACA3-4A55-9F69-B038BCA2E928}" name="AGE"/>
    <tableColumn id="5" xr3:uid="{187A7186-9C91-4E34-A9C9-F0105FE75A7F}" name="GENDER"/>
    <tableColumn id="6" xr3:uid="{7C89391E-F212-44D7-A182-6453A14DFA13}" name="BASIC SALARY"/>
    <tableColumn id="7" xr3:uid="{79F47C68-D246-4992-8D05-0ADE058930F8}" name="FOOD"/>
    <tableColumn id="8" xr3:uid="{3F92F645-FC80-4A87-9AFA-092693E42AE8}" name="HOUSE"/>
    <tableColumn id="9" xr3:uid="{2CD2E366-51F0-4DCD-BEB6-54F179853A00}" name="GROSS SALARY">
      <calculatedColumnFormula>Table4[[#This Row],[BASIC SALARY]]+Table4[[#This Row],[FOOD]]+Table4[[#This Row],[HOUSE]]</calculatedColumnFormula>
    </tableColumn>
    <tableColumn id="10" xr3:uid="{858FD6CC-4786-4D65-A46F-81C10C9B94DD}" name="EM.TAX" dataDxfId="0">
      <calculatedColumnFormula>25%*Table4[[#This Row],[GROSS SALARY]]</calculatedColumnFormula>
    </tableColumn>
    <tableColumn id="11" xr3:uid="{B8B5BF11-FFAF-48DA-8B8F-D9CF7DB9EF2F}" name="NET SALARY">
      <calculatedColumnFormula>Table4[[#This Row],[GROSS SALARY]]-Table4[[#This Row],[EM.TAX]]</calculatedColumnFormula>
    </tableColumn>
    <tableColumn id="12" xr3:uid="{05392969-046B-4D88-A6C2-B484D906C758}" name="PER DAY SALARY">
      <calculatedColumnFormula>Table4[[#This Row],[NET SALARY]]/30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2AC50-1A29-4DE9-92A8-184BEC17C537}">
  <dimension ref="A1:L5"/>
  <sheetViews>
    <sheetView tabSelected="1" zoomScale="82" zoomScaleNormal="82" workbookViewId="0">
      <selection activeCell="D1" sqref="D1"/>
    </sheetView>
  </sheetViews>
  <sheetFormatPr defaultRowHeight="15" x14ac:dyDescent="0.25"/>
  <cols>
    <col min="1" max="1" width="11.42578125" customWidth="1"/>
    <col min="2" max="2" width="16.7109375" customWidth="1"/>
    <col min="3" max="3" width="12" customWidth="1"/>
    <col min="4" max="4" width="10.85546875" customWidth="1"/>
    <col min="5" max="5" width="16.5703125" customWidth="1"/>
    <col min="6" max="6" width="18.5703125" customWidth="1"/>
    <col min="7" max="7" width="10.140625" customWidth="1"/>
    <col min="8" max="8" width="14" customWidth="1"/>
    <col min="9" max="9" width="25.5703125" customWidth="1"/>
    <col min="10" max="10" width="23.5703125" customWidth="1"/>
    <col min="11" max="11" width="26.5703125" customWidth="1"/>
    <col min="12" max="12" width="32.140625" customWidth="1"/>
    <col min="13" max="13" width="36.140625" customWidth="1"/>
  </cols>
  <sheetData>
    <row r="1" spans="1:12" ht="18.7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>
        <v>1</v>
      </c>
      <c r="B2" t="s">
        <v>13</v>
      </c>
      <c r="C2">
        <v>4567</v>
      </c>
      <c r="D2">
        <v>24</v>
      </c>
      <c r="E2" t="s">
        <v>12</v>
      </c>
      <c r="F2">
        <v>34000</v>
      </c>
      <c r="G2">
        <v>1200</v>
      </c>
      <c r="H2">
        <v>1200</v>
      </c>
      <c r="I2">
        <f>Table4[[#This Row],[BASIC SALARY]]+Table4[[#This Row],[FOOD]]+Table4[[#This Row],[HOUSE]]</f>
        <v>36400</v>
      </c>
      <c r="J2" s="3">
        <f>25%*Table4[[#This Row],[GROSS SALARY]]</f>
        <v>9100</v>
      </c>
      <c r="K2">
        <f>Table4[[#This Row],[GROSS SALARY]]-Table4[[#This Row],[EM.TAX]]</f>
        <v>27300</v>
      </c>
      <c r="L2">
        <f>Table4[[#This Row],[NET SALARY]]/30</f>
        <v>910</v>
      </c>
    </row>
    <row r="3" spans="1:12" hidden="1" x14ac:dyDescent="0.25">
      <c r="A3">
        <v>3</v>
      </c>
      <c r="B3" t="s">
        <v>14</v>
      </c>
      <c r="C3">
        <v>456</v>
      </c>
      <c r="D3">
        <v>34</v>
      </c>
      <c r="E3" t="s">
        <v>12</v>
      </c>
      <c r="F3">
        <v>4500</v>
      </c>
      <c r="G3">
        <v>679</v>
      </c>
      <c r="H3">
        <v>678</v>
      </c>
      <c r="I3">
        <f>Table4[[#This Row],[BASIC SALARY]]+Table4[[#This Row],[FOOD]]+Table4[[#This Row],[HOUSE]]</f>
        <v>5857</v>
      </c>
      <c r="J3" s="3">
        <f>25%*Table4[[#This Row],[GROSS SALARY]]</f>
        <v>1464.25</v>
      </c>
      <c r="K3">
        <f>Table4[[#This Row],[GROSS SALARY]]-Table4[[#This Row],[EM.TAX]]</f>
        <v>4392.75</v>
      </c>
      <c r="L3">
        <f>Table4[[#This Row],[NET SALARY]]/30</f>
        <v>146.42500000000001</v>
      </c>
    </row>
    <row r="4" spans="1:12" hidden="1" x14ac:dyDescent="0.25">
      <c r="A4">
        <v>3</v>
      </c>
      <c r="B4" t="s">
        <v>15</v>
      </c>
      <c r="C4">
        <v>678</v>
      </c>
      <c r="D4">
        <v>45</v>
      </c>
      <c r="E4" t="s">
        <v>12</v>
      </c>
      <c r="F4">
        <v>3450000</v>
      </c>
      <c r="G4">
        <v>200</v>
      </c>
      <c r="H4">
        <v>344</v>
      </c>
      <c r="I4">
        <f>Table4[[#This Row],[BASIC SALARY]]+Table4[[#This Row],[FOOD]]+Table4[[#This Row],[HOUSE]]</f>
        <v>3450544</v>
      </c>
      <c r="J4" s="2">
        <f>25%*Table4[[#This Row],[GROSS SALARY]]</f>
        <v>862636</v>
      </c>
      <c r="K4">
        <f>Table4[[#This Row],[GROSS SALARY]]-Table4[[#This Row],[EM.TAX]]</f>
        <v>2587908</v>
      </c>
      <c r="L4">
        <f>Table4[[#This Row],[NET SALARY]]/30</f>
        <v>86263.6</v>
      </c>
    </row>
    <row r="5" spans="1:12" hidden="1" x14ac:dyDescent="0.25">
      <c r="B5" t="s">
        <v>16</v>
      </c>
      <c r="C5">
        <v>4565</v>
      </c>
      <c r="D5">
        <v>68</v>
      </c>
      <c r="E5" t="s">
        <v>17</v>
      </c>
      <c r="F5">
        <v>56000</v>
      </c>
      <c r="G5">
        <v>6789</v>
      </c>
      <c r="H5">
        <v>67777</v>
      </c>
      <c r="I5">
        <f>Table4[[#This Row],[BASIC SALARY]]+Table4[[#This Row],[FOOD]]+Table4[[#This Row],[HOUSE]]</f>
        <v>130566</v>
      </c>
      <c r="J5" s="2">
        <f>25%*Table4[[#This Row],[GROSS SALARY]]</f>
        <v>32641.5</v>
      </c>
      <c r="K5">
        <f>Table4[[#This Row],[GROSS SALARY]]-Table4[[#This Row],[EM.TAX]]</f>
        <v>97924.5</v>
      </c>
      <c r="L5">
        <f>Table4[[#This Row],[NET SALARY]]/30</f>
        <v>3264.15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JASTYN</dc:creator>
  <cp:lastModifiedBy>JASTYN</cp:lastModifiedBy>
  <dcterms:created xsi:type="dcterms:W3CDTF">2021-09-05T09:17:29Z</dcterms:created>
  <dcterms:modified xsi:type="dcterms:W3CDTF">2021-09-05T10:05:03Z</dcterms:modified>
</cp:coreProperties>
</file>